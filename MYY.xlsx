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L7" i="1"/>
  <c r="I8" i="1"/>
  <c r="L8" i="1"/>
  <c r="I9" i="1"/>
  <c r="L9" i="1"/>
  <c r="I10" i="1"/>
  <c r="L10" i="1"/>
  <c r="I11" i="1"/>
  <c r="L11" i="1"/>
  <c r="I12" i="1"/>
  <c r="L12" i="1"/>
  <c r="I13" i="1"/>
  <c r="L13" i="1"/>
  <c r="I14" i="1"/>
  <c r="L14" i="1"/>
  <c r="I15" i="1"/>
  <c r="L15" i="1"/>
  <c r="L16" i="1"/>
  <c r="I17" i="1"/>
  <c r="L17" i="1"/>
  <c r="I18" i="1"/>
  <c r="L18" i="1"/>
  <c r="I19" i="1"/>
  <c r="L19" i="1"/>
  <c r="I20" i="1"/>
  <c r="L20" i="1"/>
  <c r="I21" i="1"/>
  <c r="L21" i="1"/>
  <c r="I22" i="1"/>
  <c r="L22" i="1"/>
  <c r="I23" i="1"/>
  <c r="L23" i="1"/>
  <c r="I24" i="1"/>
  <c r="L24" i="1"/>
  <c r="I25" i="1"/>
  <c r="L25" i="1"/>
  <c r="I26" i="1"/>
  <c r="L26" i="1"/>
</calcChain>
</file>

<file path=xl/sharedStrings.xml><?xml version="1.0" encoding="utf-8"?>
<sst xmlns="http://schemas.openxmlformats.org/spreadsheetml/2006/main" count="112" uniqueCount="66">
  <si>
    <t>EMPLOYEE ID</t>
  </si>
  <si>
    <t>EMPLOYEE NAME</t>
  </si>
  <si>
    <t>DEPARTMENT</t>
  </si>
  <si>
    <t>DESIGNATION</t>
  </si>
  <si>
    <t>PERFORMANCE</t>
  </si>
  <si>
    <t>BASIC SALARY</t>
  </si>
  <si>
    <t xml:space="preserve">BONUS </t>
  </si>
  <si>
    <t>TOTAL SALARY</t>
  </si>
  <si>
    <t>REMARKS</t>
  </si>
  <si>
    <t>EM001</t>
  </si>
  <si>
    <t>EM002</t>
  </si>
  <si>
    <t>EM003</t>
  </si>
  <si>
    <t>EM004</t>
  </si>
  <si>
    <t>EM005</t>
  </si>
  <si>
    <t>EM006</t>
  </si>
  <si>
    <t>EM007</t>
  </si>
  <si>
    <t>EM008</t>
  </si>
  <si>
    <t>EM009</t>
  </si>
  <si>
    <t>EM010</t>
  </si>
  <si>
    <t>EM011</t>
  </si>
  <si>
    <t>EM012</t>
  </si>
  <si>
    <t>EM013</t>
  </si>
  <si>
    <t>EM014</t>
  </si>
  <si>
    <t>EM015</t>
  </si>
  <si>
    <t>EM016</t>
  </si>
  <si>
    <t>EM017</t>
  </si>
  <si>
    <t>EM018</t>
  </si>
  <si>
    <t>EM019</t>
  </si>
  <si>
    <t>EM020</t>
  </si>
  <si>
    <t>ALI KHAN</t>
  </si>
  <si>
    <t>SARA AHMED</t>
  </si>
  <si>
    <t>AYESHA IQBAL</t>
  </si>
  <si>
    <t>USMAN MALIK</t>
  </si>
  <si>
    <t>HASSAN RAZA</t>
  </si>
  <si>
    <t>ADMINISTRATION</t>
  </si>
  <si>
    <t>HR</t>
  </si>
  <si>
    <t>IT</t>
  </si>
  <si>
    <t>FINANCE</t>
  </si>
  <si>
    <t>MARKETING</t>
  </si>
  <si>
    <t>MANGER</t>
  </si>
  <si>
    <t>EXECUTIVE</t>
  </si>
  <si>
    <t>TECHNICIAN</t>
  </si>
  <si>
    <t>ACCOUNTANT</t>
  </si>
  <si>
    <t>ASSISTANT</t>
  </si>
  <si>
    <t>DEVELOPER</t>
  </si>
  <si>
    <t xml:space="preserve"> ATTENDENCE %</t>
  </si>
  <si>
    <t xml:space="preserve"> </t>
  </si>
  <si>
    <t>OUTSTANDING PERFORMANCE</t>
  </si>
  <si>
    <t>SATISFACTORY PERFORMANCE</t>
  </si>
  <si>
    <t>AVERAGE</t>
  </si>
  <si>
    <t>NEEDS IMPROVEMENT</t>
  </si>
  <si>
    <t>MARIA BILAL</t>
  </si>
  <si>
    <t>YOUSUF SHEIKH</t>
  </si>
  <si>
    <t>FAIQA AYUB</t>
  </si>
  <si>
    <t xml:space="preserve">ESHAL KHAN </t>
  </si>
  <si>
    <t>NEHA KAMRAN</t>
  </si>
  <si>
    <t>BILAL AYUB</t>
  </si>
  <si>
    <t>ZAINAB SHEIKH</t>
  </si>
  <si>
    <t>AHMAD ZUBAIR</t>
  </si>
  <si>
    <t>FARHAN KHAN</t>
  </si>
  <si>
    <t>ALI YOUSUF</t>
  </si>
  <si>
    <t>MAHAM MALIK</t>
  </si>
  <si>
    <t>HUDABIA SALEH</t>
  </si>
  <si>
    <t>LAIBA KHAN</t>
  </si>
  <si>
    <t>HANIA AMIR</t>
  </si>
  <si>
    <t xml:space="preserve">DANANEER MUBIN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</si>
</sst>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26"/>
  <sheetViews>
    <sheetView tabSelected="1" workbookViewId="0">
      <selection activeCell="F3" sqref="F3"/>
    </sheetView>
  </sheetViews>
  <sheetFormatPr defaultRowHeight="15" x14ac:dyDescent="0.25"/>
  <cols>
    <col min="4" max="4" width="12.42578125" customWidth="1"/>
    <col min="5" max="5" width="17.42578125" customWidth="1"/>
    <col min="6" max="6" width="17" customWidth="1"/>
    <col min="7" max="7" width="13.7109375" customWidth="1"/>
    <col min="8" max="8" width="16.42578125" customWidth="1"/>
    <col min="9" max="9" width="14.5703125" customWidth="1"/>
    <col min="10" max="10" width="12.7109375" customWidth="1"/>
    <col min="12" max="12" width="13.5703125" customWidth="1"/>
    <col min="13" max="13" width="28" customWidth="1"/>
  </cols>
  <sheetData>
    <row r="5" spans="2:13" x14ac:dyDescent="0.25">
      <c r="D5" s="1" t="s">
        <v>0</v>
      </c>
      <c r="E5" s="1" t="s">
        <v>1</v>
      </c>
      <c r="F5" s="1" t="s">
        <v>2</v>
      </c>
      <c r="G5" s="1" t="s">
        <v>3</v>
      </c>
      <c r="H5" s="1" t="s">
        <v>45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8</v>
      </c>
    </row>
    <row r="7" spans="2:13" x14ac:dyDescent="0.25">
      <c r="D7" t="s">
        <v>9</v>
      </c>
      <c r="E7" t="s">
        <v>29</v>
      </c>
      <c r="F7" t="s">
        <v>34</v>
      </c>
      <c r="G7" t="s">
        <v>39</v>
      </c>
      <c r="H7">
        <v>95</v>
      </c>
      <c r="I7" t="str">
        <f>IF(H7&gt;=90,"EXCELLENT",IF(H7&gt;=75,"GOOD",IF(H7&gt;=60,"AVERAGE","POOR")))</f>
        <v>EXCELLENT</v>
      </c>
      <c r="J7">
        <v>50000</v>
      </c>
      <c r="K7">
        <v>5000</v>
      </c>
      <c r="L7">
        <f>K7+J7</f>
        <v>55000</v>
      </c>
      <c r="M7" t="s">
        <v>47</v>
      </c>
    </row>
    <row r="8" spans="2:13" x14ac:dyDescent="0.25">
      <c r="D8" t="s">
        <v>10</v>
      </c>
      <c r="E8" t="s">
        <v>30</v>
      </c>
      <c r="F8" t="s">
        <v>35</v>
      </c>
      <c r="G8" t="s">
        <v>40</v>
      </c>
      <c r="H8">
        <v>88</v>
      </c>
      <c r="I8" t="str">
        <f t="shared" ref="I8:I26" si="0">IF(H8&gt;=90,"EXCELLENT",IF(H8&gt;=75,"GOOD",IF(H8&gt;=60,"AVERAGE","POOR")))</f>
        <v>GOOD</v>
      </c>
      <c r="J8">
        <v>30000</v>
      </c>
      <c r="K8">
        <v>1000</v>
      </c>
      <c r="L8">
        <f t="shared" ref="L8:L26" si="1">K8+J8</f>
        <v>31000</v>
      </c>
      <c r="M8" t="s">
        <v>48</v>
      </c>
    </row>
    <row r="9" spans="2:13" x14ac:dyDescent="0.25">
      <c r="D9" t="s">
        <v>11</v>
      </c>
      <c r="E9" t="s">
        <v>31</v>
      </c>
      <c r="F9" t="s">
        <v>36</v>
      </c>
      <c r="G9" t="s">
        <v>41</v>
      </c>
      <c r="H9">
        <v>91</v>
      </c>
      <c r="I9" t="str">
        <f t="shared" si="0"/>
        <v>EXCELLENT</v>
      </c>
      <c r="J9">
        <v>25000</v>
      </c>
      <c r="K9">
        <v>4500</v>
      </c>
      <c r="L9">
        <f t="shared" si="1"/>
        <v>29500</v>
      </c>
      <c r="M9" t="s">
        <v>47</v>
      </c>
    </row>
    <row r="10" spans="2:13" x14ac:dyDescent="0.25">
      <c r="D10" t="s">
        <v>12</v>
      </c>
      <c r="E10" t="s">
        <v>32</v>
      </c>
      <c r="F10" t="s">
        <v>37</v>
      </c>
      <c r="G10" t="s">
        <v>42</v>
      </c>
      <c r="H10">
        <v>85</v>
      </c>
      <c r="I10" t="str">
        <f t="shared" si="0"/>
        <v>GOOD</v>
      </c>
      <c r="J10">
        <v>34000</v>
      </c>
      <c r="K10">
        <v>900</v>
      </c>
      <c r="L10">
        <f t="shared" si="1"/>
        <v>34900</v>
      </c>
      <c r="M10" t="s">
        <v>48</v>
      </c>
    </row>
    <row r="11" spans="2:13" x14ac:dyDescent="0.25">
      <c r="D11" t="s">
        <v>13</v>
      </c>
      <c r="E11" t="s">
        <v>33</v>
      </c>
      <c r="F11" t="s">
        <v>38</v>
      </c>
      <c r="G11" t="s">
        <v>40</v>
      </c>
      <c r="H11">
        <v>78</v>
      </c>
      <c r="I11" t="str">
        <f t="shared" si="0"/>
        <v>GOOD</v>
      </c>
      <c r="J11">
        <v>20000</v>
      </c>
      <c r="K11">
        <v>500</v>
      </c>
      <c r="L11">
        <f t="shared" si="1"/>
        <v>20500</v>
      </c>
      <c r="M11" t="s">
        <v>48</v>
      </c>
    </row>
    <row r="12" spans="2:13" x14ac:dyDescent="0.25">
      <c r="D12" t="s">
        <v>14</v>
      </c>
      <c r="E12" t="s">
        <v>51</v>
      </c>
      <c r="F12" t="s">
        <v>34</v>
      </c>
      <c r="G12" t="s">
        <v>43</v>
      </c>
      <c r="H12">
        <v>90</v>
      </c>
      <c r="I12" t="str">
        <f t="shared" si="0"/>
        <v>EXCELLENT</v>
      </c>
      <c r="J12">
        <v>150000</v>
      </c>
      <c r="K12">
        <v>7800</v>
      </c>
      <c r="L12">
        <f t="shared" si="1"/>
        <v>157800</v>
      </c>
      <c r="M12" t="s">
        <v>47</v>
      </c>
    </row>
    <row r="13" spans="2:13" x14ac:dyDescent="0.25">
      <c r="D13" t="s">
        <v>15</v>
      </c>
      <c r="E13" t="s">
        <v>52</v>
      </c>
      <c r="F13" t="s">
        <v>36</v>
      </c>
      <c r="G13" t="s">
        <v>40</v>
      </c>
      <c r="H13">
        <v>96</v>
      </c>
      <c r="I13" t="str">
        <f t="shared" si="0"/>
        <v>EXCELLENT</v>
      </c>
      <c r="J13">
        <v>40000</v>
      </c>
      <c r="K13">
        <v>8000</v>
      </c>
      <c r="L13">
        <f t="shared" si="1"/>
        <v>48000</v>
      </c>
      <c r="M13" t="s">
        <v>47</v>
      </c>
    </row>
    <row r="14" spans="2:13" x14ac:dyDescent="0.25">
      <c r="D14" t="s">
        <v>16</v>
      </c>
      <c r="E14" t="s">
        <v>53</v>
      </c>
      <c r="F14" t="s">
        <v>35</v>
      </c>
      <c r="G14" t="s">
        <v>44</v>
      </c>
      <c r="H14">
        <v>82</v>
      </c>
      <c r="I14" t="str">
        <f t="shared" si="0"/>
        <v>GOOD</v>
      </c>
      <c r="J14">
        <v>46000</v>
      </c>
      <c r="K14">
        <v>2000</v>
      </c>
      <c r="L14">
        <f t="shared" si="1"/>
        <v>48000</v>
      </c>
      <c r="M14" t="s">
        <v>48</v>
      </c>
    </row>
    <row r="15" spans="2:13" x14ac:dyDescent="0.25">
      <c r="B15" t="s">
        <v>46</v>
      </c>
      <c r="D15" t="s">
        <v>17</v>
      </c>
      <c r="E15" t="s">
        <v>54</v>
      </c>
      <c r="F15" t="s">
        <v>37</v>
      </c>
      <c r="G15" t="s">
        <v>43</v>
      </c>
      <c r="H15">
        <v>97</v>
      </c>
      <c r="I15" t="str">
        <f t="shared" si="0"/>
        <v>EXCELLENT</v>
      </c>
      <c r="J15">
        <v>19000</v>
      </c>
      <c r="K15">
        <v>1000</v>
      </c>
      <c r="L15">
        <f t="shared" si="1"/>
        <v>20000</v>
      </c>
      <c r="M15" t="s">
        <v>47</v>
      </c>
    </row>
    <row r="16" spans="2:13" x14ac:dyDescent="0.25">
      <c r="D16" t="s">
        <v>18</v>
      </c>
      <c r="E16" t="s">
        <v>55</v>
      </c>
      <c r="F16" t="s">
        <v>38</v>
      </c>
      <c r="G16" t="s">
        <v>42</v>
      </c>
      <c r="H16">
        <v>74</v>
      </c>
      <c r="I16" t="s">
        <v>49</v>
      </c>
      <c r="J16">
        <v>30000</v>
      </c>
      <c r="K16">
        <v>300</v>
      </c>
      <c r="L16">
        <f t="shared" si="1"/>
        <v>30300</v>
      </c>
      <c r="M16" t="s">
        <v>50</v>
      </c>
    </row>
    <row r="17" spans="4:13" x14ac:dyDescent="0.25">
      <c r="D17" t="s">
        <v>19</v>
      </c>
      <c r="E17" t="s">
        <v>56</v>
      </c>
      <c r="F17" t="s">
        <v>35</v>
      </c>
      <c r="G17" t="s">
        <v>39</v>
      </c>
      <c r="H17">
        <v>89</v>
      </c>
      <c r="I17" t="str">
        <f t="shared" si="0"/>
        <v>GOOD</v>
      </c>
      <c r="J17">
        <v>49000</v>
      </c>
      <c r="K17">
        <v>700</v>
      </c>
      <c r="L17">
        <f t="shared" si="1"/>
        <v>49700</v>
      </c>
      <c r="M17" t="s">
        <v>48</v>
      </c>
    </row>
    <row r="18" spans="4:13" x14ac:dyDescent="0.25">
      <c r="D18" t="s">
        <v>20</v>
      </c>
      <c r="E18" t="s">
        <v>57</v>
      </c>
      <c r="F18" t="s">
        <v>36</v>
      </c>
      <c r="G18" t="s">
        <v>41</v>
      </c>
      <c r="H18">
        <v>80</v>
      </c>
      <c r="I18" t="str">
        <f t="shared" si="0"/>
        <v>GOOD</v>
      </c>
      <c r="J18">
        <v>10000</v>
      </c>
      <c r="K18">
        <v>550</v>
      </c>
      <c r="L18">
        <f t="shared" si="1"/>
        <v>10550</v>
      </c>
      <c r="M18" t="s">
        <v>48</v>
      </c>
    </row>
    <row r="19" spans="4:13" x14ac:dyDescent="0.25">
      <c r="D19" t="s">
        <v>21</v>
      </c>
      <c r="E19" t="s">
        <v>58</v>
      </c>
      <c r="F19" t="s">
        <v>34</v>
      </c>
      <c r="G19" t="s">
        <v>40</v>
      </c>
      <c r="H19">
        <v>92</v>
      </c>
      <c r="I19" t="str">
        <f t="shared" si="0"/>
        <v>EXCELLENT</v>
      </c>
      <c r="J19">
        <v>23000</v>
      </c>
      <c r="K19">
        <v>1000</v>
      </c>
      <c r="L19">
        <f t="shared" si="1"/>
        <v>24000</v>
      </c>
      <c r="M19" t="s">
        <v>47</v>
      </c>
    </row>
    <row r="20" spans="4:13" x14ac:dyDescent="0.25">
      <c r="D20" t="s">
        <v>22</v>
      </c>
      <c r="E20" t="s">
        <v>59</v>
      </c>
      <c r="F20" t="s">
        <v>37</v>
      </c>
      <c r="G20" t="s">
        <v>43</v>
      </c>
      <c r="H20">
        <v>70</v>
      </c>
      <c r="I20" t="str">
        <f t="shared" si="0"/>
        <v>AVERAGE</v>
      </c>
      <c r="J20">
        <v>5000</v>
      </c>
      <c r="K20">
        <v>600</v>
      </c>
      <c r="L20">
        <f t="shared" si="1"/>
        <v>5600</v>
      </c>
      <c r="M20" t="s">
        <v>50</v>
      </c>
    </row>
    <row r="21" spans="4:13" x14ac:dyDescent="0.25">
      <c r="D21" t="s">
        <v>23</v>
      </c>
      <c r="E21" t="s">
        <v>60</v>
      </c>
      <c r="F21" t="s">
        <v>38</v>
      </c>
      <c r="G21" t="s">
        <v>42</v>
      </c>
      <c r="H21">
        <v>95</v>
      </c>
      <c r="I21" t="str">
        <f t="shared" si="0"/>
        <v>EXCELLENT</v>
      </c>
      <c r="J21">
        <v>88000</v>
      </c>
      <c r="K21">
        <v>400</v>
      </c>
      <c r="L21">
        <f t="shared" si="1"/>
        <v>88400</v>
      </c>
      <c r="M21" t="s">
        <v>47</v>
      </c>
    </row>
    <row r="22" spans="4:13" x14ac:dyDescent="0.25">
      <c r="D22" t="s">
        <v>24</v>
      </c>
      <c r="E22" t="s">
        <v>61</v>
      </c>
      <c r="F22" t="s">
        <v>36</v>
      </c>
      <c r="G22" t="s">
        <v>40</v>
      </c>
      <c r="H22">
        <v>85</v>
      </c>
      <c r="I22" t="str">
        <f t="shared" si="0"/>
        <v>GOOD</v>
      </c>
      <c r="J22">
        <v>56000</v>
      </c>
      <c r="K22">
        <v>900</v>
      </c>
      <c r="L22">
        <f t="shared" si="1"/>
        <v>56900</v>
      </c>
      <c r="M22" t="s">
        <v>48</v>
      </c>
    </row>
    <row r="23" spans="4:13" x14ac:dyDescent="0.25">
      <c r="D23" t="s">
        <v>25</v>
      </c>
      <c r="E23" t="s">
        <v>62</v>
      </c>
      <c r="F23" t="s">
        <v>35</v>
      </c>
      <c r="G23" t="s">
        <v>44</v>
      </c>
      <c r="H23">
        <v>90</v>
      </c>
      <c r="I23" t="str">
        <f t="shared" si="0"/>
        <v>EXCELLENT</v>
      </c>
      <c r="J23">
        <v>50000</v>
      </c>
      <c r="K23">
        <v>1000</v>
      </c>
      <c r="L23">
        <f t="shared" si="1"/>
        <v>51000</v>
      </c>
      <c r="M23" t="s">
        <v>47</v>
      </c>
    </row>
    <row r="24" spans="4:13" x14ac:dyDescent="0.25">
      <c r="D24" t="s">
        <v>26</v>
      </c>
      <c r="E24" t="s">
        <v>63</v>
      </c>
      <c r="F24" t="s">
        <v>34</v>
      </c>
      <c r="G24" t="s">
        <v>39</v>
      </c>
      <c r="H24">
        <v>88</v>
      </c>
      <c r="I24" t="str">
        <f t="shared" si="0"/>
        <v>GOOD</v>
      </c>
      <c r="J24">
        <v>8000</v>
      </c>
      <c r="K24">
        <v>600</v>
      </c>
      <c r="L24">
        <f t="shared" si="1"/>
        <v>8600</v>
      </c>
      <c r="M24" t="s">
        <v>48</v>
      </c>
    </row>
    <row r="25" spans="4:13" x14ac:dyDescent="0.25">
      <c r="D25" t="s">
        <v>27</v>
      </c>
      <c r="E25" t="s">
        <v>64</v>
      </c>
      <c r="F25" t="s">
        <v>37</v>
      </c>
      <c r="G25" t="s">
        <v>43</v>
      </c>
      <c r="H25">
        <v>78</v>
      </c>
      <c r="I25" t="str">
        <f t="shared" si="0"/>
        <v>GOOD</v>
      </c>
      <c r="J25">
        <v>5000</v>
      </c>
      <c r="K25">
        <v>390</v>
      </c>
      <c r="L25">
        <f t="shared" si="1"/>
        <v>5390</v>
      </c>
      <c r="M25" t="s">
        <v>48</v>
      </c>
    </row>
    <row r="26" spans="4:13" x14ac:dyDescent="0.25">
      <c r="D26" t="s">
        <v>28</v>
      </c>
      <c r="E26" t="s">
        <v>65</v>
      </c>
      <c r="F26" t="s">
        <v>38</v>
      </c>
      <c r="G26" t="s">
        <v>40</v>
      </c>
      <c r="H26">
        <v>66</v>
      </c>
      <c r="I26" t="str">
        <f t="shared" si="0"/>
        <v>AVERAGE</v>
      </c>
      <c r="J26">
        <v>2000</v>
      </c>
      <c r="K26">
        <v>100</v>
      </c>
      <c r="L26">
        <f t="shared" si="1"/>
        <v>2100</v>
      </c>
      <c r="M26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2026-02-07T07:00:07Z</dcterms:created>
  <dcterms:modified xsi:type="dcterms:W3CDTF">2026-02-07T15:00:52Z</dcterms:modified>
</cp:coreProperties>
</file>